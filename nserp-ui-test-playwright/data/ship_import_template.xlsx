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waves\source\repos\azure\nserp-aws\nserp-ui-test-playwright\data\"/>
    </mc:Choice>
  </mc:AlternateContent>
  <xr:revisionPtr revIDLastSave="0" documentId="13_ncr:1_{A161AE00-C566-4B2F-B7E7-5786E50606CA}" xr6:coauthVersionLast="47" xr6:coauthVersionMax="47" xr10:uidLastSave="{00000000-0000-0000-0000-000000000000}"/>
  <bookViews>
    <workbookView xWindow="28680" yWindow="-120" windowWidth="38640" windowHeight="21120" xr2:uid="{0D2F9379-1168-445A-89BC-4AD0D6D58335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Sheet1!$A$1:$S$22</definedName>
  </definedNames>
  <calcPr calcId="191029"/>
</workbook>
</file>

<file path=xl/calcChain.xml><?xml version="1.0" encoding="utf-8"?>
<calcChain xmlns="http://schemas.openxmlformats.org/spreadsheetml/2006/main">
  <c r="J5" i="1" l="1"/>
  <c r="H6" i="1" s="1"/>
  <c r="L5" i="1"/>
  <c r="J6" i="1" s="1"/>
  <c r="P5" i="1"/>
  <c r="O6" i="1"/>
  <c r="R6" i="1"/>
</calcChain>
</file>

<file path=xl/sharedStrings.xml><?xml version="1.0" encoding="utf-8"?>
<sst xmlns="http://schemas.openxmlformats.org/spreadsheetml/2006/main" count="55" uniqueCount="50">
  <si>
    <t>诺慎公司产品发货清单</t>
  </si>
  <si>
    <t>#</t>
  </si>
  <si>
    <t>运输方式：</t>
  </si>
  <si>
    <t>海运</t>
  </si>
  <si>
    <t>合同</t>
  </si>
  <si>
    <t>件号</t>
  </si>
  <si>
    <t>名称</t>
  </si>
  <si>
    <t>净重/件</t>
  </si>
  <si>
    <t>数量</t>
  </si>
  <si>
    <t>总数量</t>
  </si>
  <si>
    <t>总净重</t>
  </si>
  <si>
    <t>单价/件</t>
  </si>
  <si>
    <t>合计</t>
  </si>
  <si>
    <t>箱子外形尺寸</t>
  </si>
  <si>
    <t>体积</t>
  </si>
  <si>
    <t>总体积</t>
  </si>
  <si>
    <t>箱号</t>
  </si>
  <si>
    <t>毛重/箱</t>
  </si>
  <si>
    <t>毛重小计</t>
  </si>
  <si>
    <t>号</t>
  </si>
  <si>
    <t>（KG）</t>
  </si>
  <si>
    <t>/类（KG）</t>
  </si>
  <si>
    <t>（US$)</t>
  </si>
  <si>
    <t>长CM</t>
  </si>
  <si>
    <t>宽CM</t>
  </si>
  <si>
    <t>高CM</t>
  </si>
  <si>
    <r>
      <t>M</t>
    </r>
    <r>
      <rPr>
        <vertAlign val="superscript"/>
        <sz val="10"/>
        <rFont val="Times New Roman"/>
      </rPr>
      <t>3</t>
    </r>
  </si>
  <si>
    <t>(KG)</t>
  </si>
  <si>
    <r>
      <t>总计</t>
    </r>
    <r>
      <rPr>
        <sz val="10"/>
        <rFont val="Times New Roman"/>
      </rPr>
      <t>:</t>
    </r>
  </si>
  <si>
    <t>总体积：</t>
  </si>
  <si>
    <t>总毛重：</t>
  </si>
  <si>
    <t>(US$)</t>
  </si>
  <si>
    <t>唛头#1</t>
  </si>
  <si>
    <t>MADE IN CHINA</t>
  </si>
  <si>
    <t>Consignee:</t>
  </si>
  <si>
    <t>NOWSUN CORP.</t>
  </si>
  <si>
    <t>6211 Edenbrook Dr.,</t>
  </si>
  <si>
    <t>Sugar Land, TX 77479</t>
  </si>
  <si>
    <t>CONTACT: Liming Tang</t>
  </si>
  <si>
    <t>Cell: 425-679-1953</t>
  </si>
  <si>
    <t>Port of Discharge: Seattle, U.S.A</t>
  </si>
  <si>
    <r>
      <t>出口报关发票：100％价格；美国进口清关发票：</t>
    </r>
    <r>
      <rPr>
        <b/>
        <sz val="12"/>
        <rFont val="Times New Roman"/>
      </rPr>
      <t>100</t>
    </r>
    <r>
      <rPr>
        <b/>
        <sz val="12"/>
        <rFont val="宋体"/>
        <charset val="134"/>
      </rPr>
      <t>％价格</t>
    </r>
  </si>
  <si>
    <t>SGI</t>
  </si>
  <si>
    <t>STRAINER</t>
  </si>
  <si>
    <t>PL FOR SHP 001</t>
  </si>
  <si>
    <t>24A12</t>
  </si>
  <si>
    <t>AIR</t>
  </si>
  <si>
    <t>Sunkist Growers Inc.. NO. 1</t>
  </si>
  <si>
    <t>GW:10 KG</t>
  </si>
  <si>
    <t>2024/10/5 报单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</si>
</sst>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0.00_);[Red]\(0.00\)"/>
    <numFmt numFmtId="166" formatCode="#,##0.00_ "/>
    <numFmt numFmtId="167" formatCode="0.000_ "/>
    <numFmt numFmtId="168" formatCode="0.00;[Red]0.00"/>
    <numFmt numFmtId="169" formatCode="0_ "/>
  </numFmts>
  <fonts count="23">
    <font>
      <sz val="12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0"/>
      <name val="宋体"/>
      <charset val="134"/>
    </font>
    <font>
      <sz val="10"/>
      <name val="Times New Roman"/>
    </font>
    <font>
      <sz val="10"/>
      <color indexed="8"/>
      <name val="Times New Roman"/>
    </font>
    <font>
      <sz val="12"/>
      <name val="Times New Roman"/>
    </font>
    <font>
      <b/>
      <sz val="10"/>
      <name val="宋体"/>
      <charset val="134"/>
    </font>
    <font>
      <b/>
      <sz val="10"/>
      <name val="Times New Roman"/>
    </font>
    <font>
      <sz val="18"/>
      <name val="宋体"/>
      <charset val="134"/>
    </font>
    <font>
      <sz val="8"/>
      <name val="宋体"/>
      <charset val="134"/>
    </font>
    <font>
      <b/>
      <sz val="12"/>
      <name val="Times New Roman"/>
    </font>
    <font>
      <b/>
      <sz val="22"/>
      <name val="宋体"/>
      <charset val="134"/>
    </font>
    <font>
      <b/>
      <sz val="22"/>
      <name val="Times New Roman"/>
    </font>
    <font>
      <sz val="22"/>
      <name val="宋体"/>
      <charset val="134"/>
    </font>
    <font>
      <b/>
      <sz val="16"/>
      <name val="宋体"/>
      <charset val="134"/>
    </font>
    <font>
      <b/>
      <sz val="16"/>
      <name val="Times New Roman"/>
    </font>
    <font>
      <b/>
      <sz val="12"/>
      <name val="宋体"/>
      <charset val="134"/>
    </font>
    <font>
      <sz val="11"/>
      <color indexed="8"/>
      <name val="Tahoma"/>
    </font>
    <font>
      <vertAlign val="superscript"/>
      <sz val="10"/>
      <name val="Times New Roman"/>
    </font>
    <font>
      <sz val="12"/>
      <name val="宋体"/>
      <charset val="134"/>
    </font>
    <font>
      <sz val="9"/>
      <name val="宋体"/>
      <charset val="134"/>
    </font>
    <font>
      <sz val="10"/>
      <color rgb="FFFF0000"/>
      <name val="Times New Roman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8" fillId="0" borderId="0"/>
    <xf numFmtId="0" fontId="20" fillId="0" borderId="0"/>
    <xf numFmtId="164" fontId="20" fillId="0" borderId="0"/>
    <xf numFmtId="0" fontId="2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8" xfId="0" applyFont="1" applyBorder="1" applyAlignment="1">
      <alignment horizontal="center"/>
    </xf>
    <xf numFmtId="0" fontId="3" fillId="0" borderId="9" xfId="2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40" fontId="22" fillId="0" borderId="1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14" xfId="0" applyBorder="1"/>
    <xf numFmtId="0" fontId="0" fillId="0" borderId="15" xfId="0" applyBorder="1"/>
    <xf numFmtId="0" fontId="3" fillId="0" borderId="15" xfId="0" applyFont="1" applyBorder="1"/>
    <xf numFmtId="166" fontId="3" fillId="0" borderId="16" xfId="0" applyNumberFormat="1" applyFont="1" applyBorder="1"/>
    <xf numFmtId="0" fontId="3" fillId="0" borderId="17" xfId="0" applyFont="1" applyBorder="1"/>
    <xf numFmtId="166" fontId="3" fillId="0" borderId="15" xfId="0" applyNumberFormat="1" applyFont="1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167" fontId="3" fillId="0" borderId="15" xfId="0" applyNumberFormat="1" applyFont="1" applyBorder="1"/>
    <xf numFmtId="168" fontId="6" fillId="0" borderId="18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10" xfId="0" applyFont="1" applyBorder="1"/>
    <xf numFmtId="0" fontId="3" fillId="0" borderId="20" xfId="0" applyFont="1" applyBorder="1"/>
    <xf numFmtId="0" fontId="4" fillId="0" borderId="21" xfId="0" applyFont="1" applyBorder="1"/>
    <xf numFmtId="0" fontId="3" fillId="0" borderId="10" xfId="0" applyFont="1" applyBorder="1"/>
    <xf numFmtId="49" fontId="3" fillId="0" borderId="22" xfId="0" applyNumberFormat="1" applyFont="1" applyBorder="1"/>
    <xf numFmtId="0" fontId="7" fillId="0" borderId="23" xfId="0" applyFont="1" applyBorder="1"/>
    <xf numFmtId="0" fontId="3" fillId="0" borderId="23" xfId="0" applyFont="1" applyBorder="1"/>
    <xf numFmtId="0" fontId="7" fillId="0" borderId="0" xfId="0" applyFont="1"/>
    <xf numFmtId="169" fontId="3" fillId="0" borderId="0" xfId="0" applyNumberFormat="1" applyFont="1"/>
    <xf numFmtId="0" fontId="9" fillId="0" borderId="0" xfId="0" applyFont="1"/>
    <xf numFmtId="0" fontId="10" fillId="0" borderId="0" xfId="0" applyFont="1"/>
    <xf numFmtId="0" fontId="3" fillId="0" borderId="24" xfId="0" applyFont="1" applyBorder="1"/>
    <xf numFmtId="0" fontId="3" fillId="0" borderId="25" xfId="0" applyFont="1" applyBorder="1"/>
    <xf numFmtId="0" fontId="11" fillId="0" borderId="0" xfId="0" applyFont="1" applyAlignment="1">
      <alignment horizontal="right"/>
    </xf>
    <xf numFmtId="0" fontId="8" fillId="0" borderId="0" xfId="0" applyFont="1"/>
    <xf numFmtId="0" fontId="12" fillId="0" borderId="7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1" fillId="0" borderId="0" xfId="0" applyFont="1"/>
    <xf numFmtId="0" fontId="3" fillId="0" borderId="1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49" fontId="3" fillId="0" borderId="29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</cellXfs>
  <cellStyles count="5">
    <cellStyle name="Normal" xfId="0" builtinId="0"/>
    <cellStyle name="常规 10" xfId="1" xr:uid="{9BEEA9D2-B9A4-4073-8502-45671FAE7CD7}"/>
    <cellStyle name="常规 2" xfId="2" xr:uid="{C0B4B521-321E-432A-8B9B-122D10F2F917}"/>
    <cellStyle name="常规 2 10 2" xfId="3" xr:uid="{8097BCE9-DD2D-4066-95F3-244220DFFBB7}"/>
    <cellStyle name="常规 2 2 2" xfId="4" xr:uid="{FF96DFD2-9B2A-48DD-A413-DD0041BC22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D23C-C211-4766-A76E-A35779129B6C}">
  <dimension ref="A1:AH26"/>
  <sheetViews>
    <sheetView tabSelected="1" zoomScale="130" zoomScaleNormal="130" workbookViewId="0">
      <selection activeCell="K13" sqref="K13"/>
    </sheetView>
  </sheetViews>
  <sheetFormatPr defaultColWidth="9" defaultRowHeight="15.6"/>
  <cols>
    <col min="1" max="2" width="8.19921875" customWidth="1"/>
    <col min="3" max="3" width="17.09765625" customWidth="1"/>
    <col min="4" max="4" width="13.296875" customWidth="1"/>
    <col min="5" max="5" width="32.69921875" customWidth="1"/>
    <col min="6" max="6" width="8" customWidth="1"/>
    <col min="7" max="7" width="4.796875" customWidth="1"/>
    <col min="8" max="8" width="6" bestFit="1" customWidth="1"/>
    <col min="9" max="9" width="9.69921875" customWidth="1"/>
    <col min="10" max="10" width="7.296875" customWidth="1"/>
    <col min="11" max="11" width="11.19921875" customWidth="1"/>
    <col min="12" max="12" width="5" customWidth="1"/>
    <col min="13" max="14" width="4.19921875" customWidth="1"/>
    <col min="15" max="15" width="12.5" customWidth="1"/>
    <col min="16" max="17" width="6.19921875" customWidth="1"/>
    <col min="18" max="18" width="6.796875" customWidth="1"/>
    <col min="19" max="19" width="7.5" customWidth="1"/>
  </cols>
  <sheetData>
    <row r="1" spans="1:34" ht="20.25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2"/>
    </row>
    <row r="2" spans="1:34" ht="17.25" customHeight="1">
      <c r="A2" s="3"/>
      <c r="B2" s="3"/>
      <c r="C2" s="4" t="s">
        <v>45</v>
      </c>
      <c r="D2" s="3"/>
      <c r="E2" s="3"/>
      <c r="F2" s="3"/>
      <c r="G2" s="3"/>
      <c r="H2" s="3"/>
      <c r="I2" s="3" t="s">
        <v>1</v>
      </c>
      <c r="J2" s="3"/>
      <c r="K2" s="5" t="s">
        <v>2</v>
      </c>
      <c r="L2" s="6"/>
      <c r="M2" s="6"/>
      <c r="N2" s="6"/>
      <c r="O2" s="6"/>
      <c r="P2" s="7" t="s">
        <v>3</v>
      </c>
      <c r="Q2" s="6"/>
      <c r="R2" s="8"/>
    </row>
    <row r="3" spans="1:34">
      <c r="B3" s="5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/>
      <c r="J3" s="9" t="s">
        <v>10</v>
      </c>
      <c r="K3" s="9" t="s">
        <v>11</v>
      </c>
      <c r="L3" s="9" t="s">
        <v>12</v>
      </c>
      <c r="M3" s="64" t="s">
        <v>13</v>
      </c>
      <c r="N3" s="64"/>
      <c r="O3" s="64"/>
      <c r="P3" s="9" t="s">
        <v>14</v>
      </c>
      <c r="Q3" s="9" t="s">
        <v>15</v>
      </c>
      <c r="R3" s="9" t="s">
        <v>16</v>
      </c>
      <c r="S3" s="9" t="s">
        <v>17</v>
      </c>
      <c r="T3" s="10" t="s">
        <v>18</v>
      </c>
    </row>
    <row r="4" spans="1:34" ht="12.75" customHeight="1">
      <c r="B4" s="59"/>
      <c r="C4" s="11" t="s">
        <v>19</v>
      </c>
      <c r="D4" s="11"/>
      <c r="E4" s="11"/>
      <c r="F4" s="11" t="s">
        <v>20</v>
      </c>
      <c r="G4" s="11"/>
      <c r="H4" s="11"/>
      <c r="I4" s="11"/>
      <c r="J4" s="11" t="s">
        <v>21</v>
      </c>
      <c r="K4" s="11" t="s">
        <v>22</v>
      </c>
      <c r="L4" s="11" t="s">
        <v>22</v>
      </c>
      <c r="M4" s="12" t="s">
        <v>23</v>
      </c>
      <c r="N4" s="12" t="s">
        <v>24</v>
      </c>
      <c r="O4" s="12" t="s">
        <v>25</v>
      </c>
      <c r="P4" s="13" t="s">
        <v>26</v>
      </c>
      <c r="Q4" s="13"/>
      <c r="R4" s="14"/>
      <c r="S4" s="13" t="s">
        <v>27</v>
      </c>
      <c r="T4" s="15" t="s">
        <v>27</v>
      </c>
    </row>
    <row r="5" spans="1:34" s="1" customFormat="1" ht="22.5" customHeight="1">
      <c r="B5" s="60" t="s">
        <v>42</v>
      </c>
      <c r="C5" s="16" t="s">
        <v>44</v>
      </c>
      <c r="D5" s="17" t="s">
        <v>43</v>
      </c>
      <c r="E5" s="18" t="s">
        <v>43</v>
      </c>
      <c r="F5" s="1">
        <v>0.02</v>
      </c>
      <c r="G5" s="19">
        <v>300</v>
      </c>
      <c r="H5" s="19">
        <v>300</v>
      </c>
      <c r="I5" s="19"/>
      <c r="J5" s="20">
        <f>F5*G5</f>
        <v>6</v>
      </c>
      <c r="K5" s="21">
        <v>35</v>
      </c>
      <c r="L5" s="20">
        <f>K5*H5</f>
        <v>10500</v>
      </c>
      <c r="M5" s="22">
        <v>100</v>
      </c>
      <c r="N5" s="22">
        <v>90</v>
      </c>
      <c r="O5" s="22">
        <v>86</v>
      </c>
      <c r="P5" s="22">
        <f>M5*N5*O5/1000000</f>
        <v>0.77400000000000002</v>
      </c>
      <c r="Q5" s="22">
        <v>0.77400000000000002</v>
      </c>
      <c r="R5" s="22">
        <v>1</v>
      </c>
      <c r="S5" s="22">
        <v>10</v>
      </c>
      <c r="T5" s="23">
        <v>10</v>
      </c>
    </row>
    <row r="6" spans="1:34" ht="18" customHeight="1">
      <c r="A6" s="24"/>
      <c r="B6" s="24"/>
      <c r="C6" s="25"/>
      <c r="D6" s="24"/>
      <c r="E6" s="26"/>
      <c r="F6" s="27"/>
      <c r="G6" s="28"/>
      <c r="H6" s="29">
        <f>SUM(J5:J5)</f>
        <v>6</v>
      </c>
      <c r="I6" s="30" t="s">
        <v>28</v>
      </c>
      <c r="J6" s="31">
        <f>SUM(L5:L5)</f>
        <v>10500</v>
      </c>
      <c r="K6" s="28"/>
      <c r="L6" s="28" t="s">
        <v>29</v>
      </c>
      <c r="M6" s="28"/>
      <c r="N6" s="32"/>
      <c r="O6" s="33">
        <f>SUM(Q5:Q5)</f>
        <v>0.77400000000000002</v>
      </c>
      <c r="P6" s="30" t="s">
        <v>30</v>
      </c>
      <c r="Q6" s="27"/>
      <c r="R6" s="34">
        <f>SUM(T5:T5)</f>
        <v>10</v>
      </c>
    </row>
    <row r="7" spans="1:34" ht="18" customHeight="1">
      <c r="A7" s="4"/>
      <c r="B7" s="24"/>
      <c r="C7" s="24"/>
      <c r="D7" s="24"/>
      <c r="E7" s="35" t="s">
        <v>27</v>
      </c>
      <c r="F7" s="36"/>
      <c r="G7" s="36"/>
      <c r="H7" s="37"/>
      <c r="I7" s="38" t="s">
        <v>31</v>
      </c>
      <c r="J7" s="39"/>
      <c r="K7" s="39"/>
      <c r="L7" s="39"/>
      <c r="M7" s="39"/>
      <c r="N7" s="39"/>
      <c r="O7" s="39"/>
      <c r="P7" s="38" t="s">
        <v>27</v>
      </c>
      <c r="Q7" s="39"/>
      <c r="R7" s="40"/>
    </row>
    <row r="8" spans="1:34">
      <c r="A8" s="41" t="s">
        <v>32</v>
      </c>
      <c r="B8" s="41"/>
      <c r="C8" s="42"/>
      <c r="D8" s="42"/>
      <c r="E8" s="24"/>
      <c r="F8" s="24"/>
      <c r="G8" s="24"/>
      <c r="H8" s="24"/>
      <c r="I8" s="24"/>
      <c r="J8" s="43"/>
      <c r="K8" s="24"/>
      <c r="L8" s="24"/>
      <c r="M8" s="24"/>
      <c r="N8" s="24"/>
      <c r="O8" s="24"/>
      <c r="P8" s="24"/>
      <c r="Q8" s="24"/>
      <c r="R8" s="24"/>
      <c r="S8" s="44"/>
    </row>
    <row r="9" spans="1:34">
      <c r="A9" s="65" t="s">
        <v>47</v>
      </c>
      <c r="B9" s="61"/>
      <c r="C9" s="61"/>
      <c r="D9" s="66"/>
      <c r="E9" s="24"/>
      <c r="F9" s="24"/>
      <c r="G9" s="24"/>
      <c r="H9" s="24"/>
      <c r="I9" s="24"/>
      <c r="J9" s="43"/>
      <c r="K9" s="24"/>
      <c r="L9" s="24"/>
      <c r="M9" s="24"/>
      <c r="N9" s="24"/>
      <c r="O9" s="24"/>
      <c r="P9" s="24"/>
      <c r="Q9" s="24"/>
    </row>
    <row r="10" spans="1:34" ht="22.2">
      <c r="A10" s="65" t="s">
        <v>33</v>
      </c>
      <c r="B10" s="61"/>
      <c r="C10" s="61"/>
      <c r="D10" s="66"/>
      <c r="E10" s="24"/>
      <c r="F10" s="24"/>
      <c r="G10" s="24"/>
      <c r="H10" s="24"/>
      <c r="I10" s="24"/>
      <c r="J10" s="61"/>
      <c r="K10" s="61"/>
      <c r="L10" s="61"/>
      <c r="M10" s="45"/>
      <c r="N10" s="45"/>
      <c r="O10" s="24"/>
      <c r="P10" s="24"/>
      <c r="Q10" s="24"/>
    </row>
    <row r="11" spans="1:34" ht="22.2">
      <c r="A11" s="65" t="s">
        <v>48</v>
      </c>
      <c r="B11" s="61"/>
      <c r="C11" s="61"/>
      <c r="D11" s="66"/>
      <c r="E11" s="46"/>
      <c r="F11" s="24"/>
      <c r="G11" s="24"/>
      <c r="H11" s="24"/>
      <c r="I11" s="24"/>
      <c r="J11" s="61"/>
      <c r="K11" s="61"/>
      <c r="L11" s="61"/>
      <c r="M11" s="45"/>
      <c r="N11" s="45"/>
      <c r="O11" s="24"/>
      <c r="P11" s="24"/>
      <c r="Q11" s="24"/>
    </row>
    <row r="12" spans="1:34">
      <c r="A12" s="47"/>
      <c r="B12" s="42"/>
      <c r="C12" s="42"/>
      <c r="D12" s="48"/>
      <c r="E12" s="24"/>
      <c r="F12" s="24"/>
      <c r="G12" s="24"/>
      <c r="H12" s="24"/>
      <c r="I12" s="24"/>
      <c r="J12" s="61"/>
      <c r="K12" s="61"/>
      <c r="L12" s="61"/>
      <c r="M12" s="24"/>
      <c r="N12" s="24"/>
      <c r="O12" s="24"/>
      <c r="P12" s="24"/>
      <c r="Q12" s="24"/>
      <c r="R12" s="24"/>
      <c r="S12" s="44"/>
    </row>
    <row r="13" spans="1:34" ht="16.2">
      <c r="A13" s="62"/>
      <c r="B13" s="62"/>
      <c r="C13" s="62"/>
      <c r="D13" s="62"/>
      <c r="E13" s="49" t="s">
        <v>34</v>
      </c>
      <c r="F13" s="50" t="s">
        <v>35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spans="1:34" ht="17.399999999999999">
      <c r="A14" s="43"/>
      <c r="B14" s="43"/>
      <c r="C14" s="24"/>
      <c r="D14" s="24"/>
      <c r="E14" s="24"/>
      <c r="F14" s="50" t="s">
        <v>36</v>
      </c>
      <c r="G14" s="24"/>
      <c r="H14" s="24"/>
      <c r="I14" s="24"/>
      <c r="J14" s="61"/>
      <c r="K14" s="61"/>
      <c r="L14" s="61"/>
      <c r="M14" s="43"/>
      <c r="N14" s="43"/>
      <c r="O14" s="43"/>
      <c r="P14" s="43"/>
      <c r="Q14" s="24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1:34">
      <c r="A15" s="61"/>
      <c r="B15" s="61"/>
      <c r="C15" s="61"/>
      <c r="D15" s="61"/>
      <c r="E15" s="24"/>
      <c r="F15" s="50" t="s">
        <v>37</v>
      </c>
      <c r="G15" s="24"/>
      <c r="H15" s="24"/>
      <c r="I15" s="24"/>
      <c r="J15" s="61"/>
      <c r="K15" s="61"/>
      <c r="L15" s="61"/>
      <c r="M15" s="43"/>
      <c r="N15" s="43"/>
      <c r="O15" s="43"/>
      <c r="P15" s="43"/>
      <c r="Q15" s="24"/>
      <c r="R15" s="24"/>
      <c r="S15" s="24"/>
    </row>
    <row r="16" spans="1:34" ht="12" customHeight="1">
      <c r="A16" s="61"/>
      <c r="B16" s="61"/>
      <c r="C16" s="61"/>
      <c r="D16" s="61"/>
      <c r="E16" s="24"/>
      <c r="F16" s="50" t="s">
        <v>38</v>
      </c>
      <c r="G16" s="24"/>
      <c r="H16" s="24"/>
      <c r="I16" s="24"/>
      <c r="J16" s="61"/>
      <c r="K16" s="61"/>
      <c r="L16" s="61"/>
      <c r="M16" s="43"/>
      <c r="N16" s="43"/>
      <c r="O16" s="24"/>
      <c r="P16" s="24"/>
      <c r="Q16" s="24"/>
      <c r="R16" s="24"/>
      <c r="S16" s="24"/>
    </row>
    <row r="17" spans="1:19" ht="13.5" customHeight="1">
      <c r="A17" s="61"/>
      <c r="B17" s="61"/>
      <c r="C17" s="61"/>
      <c r="D17" s="61"/>
      <c r="E17" s="3"/>
      <c r="F17" s="50" t="s">
        <v>39</v>
      </c>
      <c r="G17" s="24"/>
      <c r="H17" s="24"/>
      <c r="I17" s="24"/>
      <c r="J17" s="24"/>
      <c r="K17" s="24"/>
      <c r="L17" s="24"/>
      <c r="M17" s="43"/>
      <c r="N17" s="43"/>
      <c r="O17" s="43"/>
      <c r="P17" s="43"/>
      <c r="Q17" s="24"/>
      <c r="R17" s="24"/>
      <c r="S17" s="24"/>
    </row>
    <row r="18" spans="1:19" ht="13.5" customHeight="1">
      <c r="A18" s="24"/>
      <c r="B18" s="24"/>
      <c r="C18" s="24"/>
      <c r="D18" s="24"/>
      <c r="E18" s="50" t="s">
        <v>40</v>
      </c>
      <c r="F18" s="24"/>
      <c r="G18" s="24"/>
      <c r="H18" s="24"/>
      <c r="I18" s="24"/>
      <c r="J18" s="43"/>
      <c r="K18" s="43"/>
      <c r="L18" s="24"/>
      <c r="M18" s="43"/>
      <c r="N18" s="43"/>
      <c r="O18" s="43"/>
      <c r="P18" s="43"/>
      <c r="Q18" s="24"/>
      <c r="R18" s="24"/>
      <c r="S18" s="24"/>
    </row>
    <row r="19" spans="1:19">
      <c r="A19" s="24"/>
      <c r="B19" s="24"/>
      <c r="C19" s="24"/>
      <c r="D19" s="24"/>
      <c r="E19" s="24"/>
      <c r="F19" s="50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spans="1:19" ht="28.8">
      <c r="A20" s="24"/>
      <c r="B20" s="24"/>
      <c r="C20" s="24"/>
      <c r="D20" s="24"/>
      <c r="E20" s="51" t="s">
        <v>46</v>
      </c>
      <c r="F20" s="52"/>
      <c r="G20" s="53"/>
      <c r="H20" s="53"/>
      <c r="I20" s="53"/>
      <c r="J20" s="53"/>
      <c r="K20" s="24"/>
      <c r="L20" s="24"/>
      <c r="M20" s="24"/>
      <c r="N20" s="24"/>
      <c r="O20" s="54" t="s">
        <v>49</v>
      </c>
      <c r="P20" s="55"/>
      <c r="Q20" s="54"/>
      <c r="R20" s="54"/>
      <c r="S20" s="24"/>
    </row>
    <row r="21" spans="1:19">
      <c r="A21" s="24"/>
      <c r="B21" s="24"/>
      <c r="C21" s="24"/>
      <c r="D21" s="24"/>
      <c r="E21" s="24"/>
      <c r="F21" s="50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ht="16.2">
      <c r="A22" s="24"/>
      <c r="B22" s="24"/>
      <c r="C22" s="24"/>
      <c r="D22" s="56" t="s">
        <v>41</v>
      </c>
      <c r="E22" s="56"/>
      <c r="F22" s="56"/>
      <c r="G22" s="56"/>
      <c r="H22" s="56"/>
      <c r="I22" s="56"/>
      <c r="J22" s="56"/>
      <c r="K22" s="57"/>
      <c r="L22" s="24"/>
      <c r="M22" s="24"/>
      <c r="N22" s="24"/>
      <c r="O22" s="24"/>
      <c r="P22" s="24"/>
      <c r="Q22" s="24"/>
      <c r="R22" s="24"/>
      <c r="S22" s="24"/>
    </row>
    <row r="23" spans="1:19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spans="1:19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spans="1:19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1:19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</sheetData>
  <mergeCells count="16">
    <mergeCell ref="R14:AH14"/>
    <mergeCell ref="A15:D15"/>
    <mergeCell ref="J15:L15"/>
    <mergeCell ref="A1:R1"/>
    <mergeCell ref="M3:O3"/>
    <mergeCell ref="A9:D9"/>
    <mergeCell ref="A10:D10"/>
    <mergeCell ref="J10:L10"/>
    <mergeCell ref="A11:D11"/>
    <mergeCell ref="J11:L11"/>
    <mergeCell ref="A16:D16"/>
    <mergeCell ref="J16:L16"/>
    <mergeCell ref="A17:D17"/>
    <mergeCell ref="J12:L12"/>
    <mergeCell ref="A13:D13"/>
    <mergeCell ref="J14:L14"/>
  </mergeCells>
  <phoneticPr fontId="21" type="noConversion"/>
  <pageMargins left="0.08" right="0.08" top="0.08" bottom="0.08" header="0.31" footer="0.31"/>
  <pageSetup paperSize="9" orientation="landscape" horizont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7D0-6722-4960-A250-0F4C1F1974CB}">
  <dimension ref="A1"/>
  <sheetViews>
    <sheetView workbookViewId="0"/>
  </sheetViews>
  <sheetFormatPr defaultColWidth="9" defaultRowHeight="15.6"/>
  <sheetData/>
  <phoneticPr fontId="2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ECE8-12EA-4FE4-BF4E-4DD16B417C5F}">
  <dimension ref="A1"/>
  <sheetViews>
    <sheetView workbookViewId="0"/>
  </sheetViews>
  <sheetFormatPr defaultColWidth="9" defaultRowHeight="15.6"/>
  <sheetData/>
  <phoneticPr fontId="2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cimic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Chongtian Gao</cp:lastModifiedBy>
  <cp:lastPrinted>2011-04-15T05:52:27Z</cp:lastPrinted>
  <dcterms:created xsi:type="dcterms:W3CDTF">2000-08-25T03:04:43Z</dcterms:created>
  <dcterms:modified xsi:type="dcterms:W3CDTF">2026-03-28T21:46:25Z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7385277C16C6446E891B6A6614DF2D58_13</vt:lpwstr>
  </property>
  <property fmtid="{D5CDD505-2E9C-101B-9397-08002B2CF9AE}" pid="4" name="CalculationRule">
    <vt:r8>0</vt:r8>
  </property>
</Properties>
</file>